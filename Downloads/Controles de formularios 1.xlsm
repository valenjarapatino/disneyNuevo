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sarrollo\Downloads\"/>
    </mc:Choice>
  </mc:AlternateContent>
  <xr:revisionPtr revIDLastSave="0" documentId="13_ncr:1_{65461EAF-F5D6-4B1C-8635-58494D64E7B2}" xr6:coauthVersionLast="36" xr6:coauthVersionMax="36" xr10:uidLastSave="{00000000-0000-0000-0000-000000000000}"/>
  <bookViews>
    <workbookView xWindow="0" yWindow="0" windowWidth="28800" windowHeight="12225" activeTab="3" xr2:uid="{00000000-000D-0000-FFFF-FFFF00000000}"/>
  </bookViews>
  <sheets>
    <sheet name="Datos" sheetId="1" r:id="rId1"/>
    <sheet name="Financiacion" sheetId="2" r:id="rId2"/>
    <sheet name="Controles de Formulario" sheetId="3" r:id="rId3"/>
    <sheet name="Clientes" sheetId="4" r:id="rId4"/>
  </sheets>
  <definedNames>
    <definedName name="Autos">Datos!$A$1:$C$89</definedName>
    <definedName name="Modelos">Datos!$A$2:$A$89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2" l="1"/>
  <c r="G6" i="2"/>
  <c r="J14" i="2"/>
  <c r="J11" i="2"/>
  <c r="J10" i="2"/>
  <c r="J12" i="2"/>
  <c r="E16" i="3"/>
  <c r="E12" i="3"/>
  <c r="J13" i="2"/>
  <c r="J15" i="2"/>
  <c r="J18" i="2" s="1"/>
  <c r="E7" i="3"/>
  <c r="F3" i="3"/>
  <c r="B3" i="4" l="1"/>
  <c r="J19" i="2"/>
  <c r="J20" i="2" s="1"/>
  <c r="J21" i="2" s="1"/>
  <c r="J22" i="2" s="1"/>
  <c r="B14" i="1"/>
</calcChain>
</file>

<file path=xl/sharedStrings.xml><?xml version="1.0" encoding="utf-8"?>
<sst xmlns="http://schemas.openxmlformats.org/spreadsheetml/2006/main" count="162" uniqueCount="148">
  <si>
    <t>CONTACTO INTEGRAL S.A.S</t>
  </si>
  <si>
    <t>CONCESIONARIO AUTOMOTRIZ</t>
  </si>
  <si>
    <t>MODELO</t>
  </si>
  <si>
    <t>CILINDRO</t>
  </si>
  <si>
    <t>PRECIO</t>
  </si>
  <si>
    <t>Adicionales</t>
  </si>
  <si>
    <t>Elevavidrios Electrico</t>
  </si>
  <si>
    <t>Equipo de Sonido DVD y Pantallas</t>
  </si>
  <si>
    <t>Polarizados</t>
  </si>
  <si>
    <t>Alarma</t>
  </si>
  <si>
    <t>Apertura Electronica</t>
  </si>
  <si>
    <t>Nro de Puertas</t>
  </si>
  <si>
    <t>Nro. De Vidrios</t>
  </si>
  <si>
    <t>Modelo</t>
  </si>
  <si>
    <t>Cilindros</t>
  </si>
  <si>
    <t>Precio</t>
  </si>
  <si>
    <t>Corsa XR Sport</t>
  </si>
  <si>
    <t>Corsa Base</t>
  </si>
  <si>
    <t>Corsa Plus</t>
  </si>
  <si>
    <t>Corsa Plus 1</t>
  </si>
  <si>
    <t>Corsa Plus 2</t>
  </si>
  <si>
    <t>Corsa Black</t>
  </si>
  <si>
    <t>Spark LX 3p</t>
  </si>
  <si>
    <t>Spark LX 5p</t>
  </si>
  <si>
    <t>Spark LX D 5p</t>
  </si>
  <si>
    <t>Abarth abarth</t>
  </si>
  <si>
    <t>Alfa Romeo alfa-romeo</t>
  </si>
  <si>
    <t>Aro aro</t>
  </si>
  <si>
    <t>Asia asia</t>
  </si>
  <si>
    <t>Asia Motors asia-motors</t>
  </si>
  <si>
    <t>Aston Martin aston-martin</t>
  </si>
  <si>
    <t>Audi audi</t>
  </si>
  <si>
    <t>Austin austin</t>
  </si>
  <si>
    <t>Auverland auverland</t>
  </si>
  <si>
    <t>Bentley bentley</t>
  </si>
  <si>
    <t>Bertone bertone</t>
  </si>
  <si>
    <t>Bmw bmw</t>
  </si>
  <si>
    <t>Cadillac cadillac</t>
  </si>
  <si>
    <t>Chevrolet chevrolet</t>
  </si>
  <si>
    <t>Chrysler chrysler</t>
  </si>
  <si>
    <t>Citroen citroen</t>
  </si>
  <si>
    <t>Corvette corvette</t>
  </si>
  <si>
    <t>Dacia dacia</t>
  </si>
  <si>
    <t>Daewoo daewoo</t>
  </si>
  <si>
    <t>Daf daf</t>
  </si>
  <si>
    <t>Daihatsu daihatsu</t>
  </si>
  <si>
    <t>Daimler daimler</t>
  </si>
  <si>
    <t>Dodge dodge</t>
  </si>
  <si>
    <t>Ferrari ferrari</t>
  </si>
  <si>
    <t>Fiat fiat</t>
  </si>
  <si>
    <t>Ford ford</t>
  </si>
  <si>
    <t>Galloper galloper</t>
  </si>
  <si>
    <t>Gmc gmc</t>
  </si>
  <si>
    <t>Honda honda</t>
  </si>
  <si>
    <t>Hummer hummer</t>
  </si>
  <si>
    <t>Hyundai hyundai</t>
  </si>
  <si>
    <t>Infiniti infiniti</t>
  </si>
  <si>
    <t>Innocenti innocenti</t>
  </si>
  <si>
    <t>Isuzu isuzu</t>
  </si>
  <si>
    <t>Iveco iveco</t>
  </si>
  <si>
    <t>Iveco-pegaso iveco-pegaso</t>
  </si>
  <si>
    <t>Jaguar jaguar</t>
  </si>
  <si>
    <t>Jeep jeep</t>
  </si>
  <si>
    <t>Kia kia</t>
  </si>
  <si>
    <t>Lada lada</t>
  </si>
  <si>
    <t>Lamborghini lamborghini</t>
  </si>
  <si>
    <t>Lancia lancia</t>
  </si>
  <si>
    <t>Land-rover land-rover</t>
  </si>
  <si>
    <t>Ldv ldv</t>
  </si>
  <si>
    <t>Lexus lexus</t>
  </si>
  <si>
    <t>Lotus lotus</t>
  </si>
  <si>
    <t>Mahindra mahindra</t>
  </si>
  <si>
    <t>Maserati maserati</t>
  </si>
  <si>
    <t>Maybach maybach</t>
  </si>
  <si>
    <t>Mazda mazda</t>
  </si>
  <si>
    <t>Mercedes-benz mercedes-benz</t>
  </si>
  <si>
    <t>Mg mg</t>
  </si>
  <si>
    <t>Mini mini</t>
  </si>
  <si>
    <t>Mitsubishi mitsubishi</t>
  </si>
  <si>
    <t>Morgan morgan</t>
  </si>
  <si>
    <t>Nissan nissan</t>
  </si>
  <si>
    <t>Opel opel</t>
  </si>
  <si>
    <t>Peugeot peugeot</t>
  </si>
  <si>
    <t>Pontiac pontiac</t>
  </si>
  <si>
    <t>Porsche porsche</t>
  </si>
  <si>
    <t>Renault renault</t>
  </si>
  <si>
    <t>Rolls-royce rolls-royce</t>
  </si>
  <si>
    <t>Rover rover</t>
  </si>
  <si>
    <t>Saab saab</t>
  </si>
  <si>
    <t>Santana santana</t>
  </si>
  <si>
    <t>Seat seat</t>
  </si>
  <si>
    <t>Skoda skoda</t>
  </si>
  <si>
    <t>Smart smart</t>
  </si>
  <si>
    <t>Ssangyong ssangyong</t>
  </si>
  <si>
    <t>Subaru subaru</t>
  </si>
  <si>
    <t>Suzuki suzuki</t>
  </si>
  <si>
    <t>Talbot talbot</t>
  </si>
  <si>
    <t>Tata tata</t>
  </si>
  <si>
    <t>Toyota toyota</t>
  </si>
  <si>
    <t>Umm umm</t>
  </si>
  <si>
    <t>Vaz vaz</t>
  </si>
  <si>
    <t>Volkswagen volkswagen</t>
  </si>
  <si>
    <t>Volvo volvo</t>
  </si>
  <si>
    <t>Wartburg wartburg</t>
  </si>
  <si>
    <t>Subtotal (Precio + Adicionales)</t>
  </si>
  <si>
    <t>Tipo Cliente</t>
  </si>
  <si>
    <t>Descuento</t>
  </si>
  <si>
    <t>IVA</t>
  </si>
  <si>
    <t>Total Vehiculo</t>
  </si>
  <si>
    <t>Personal</t>
  </si>
  <si>
    <t>Empresa</t>
  </si>
  <si>
    <t>Referido</t>
  </si>
  <si>
    <t>id.cliente</t>
  </si>
  <si>
    <t>tipo</t>
  </si>
  <si>
    <t>descuento</t>
  </si>
  <si>
    <t>Transportador</t>
  </si>
  <si>
    <t>Rines de Lujo</t>
  </si>
  <si>
    <t>Medellín</t>
  </si>
  <si>
    <t>Cali</t>
  </si>
  <si>
    <t>Bogotá</t>
  </si>
  <si>
    <t>Pereira</t>
  </si>
  <si>
    <t>Cuadro combinado</t>
  </si>
  <si>
    <t>Casilla</t>
  </si>
  <si>
    <t>Control de número</t>
  </si>
  <si>
    <t>Cuadro de grupo con botón de opción</t>
  </si>
  <si>
    <t>Actualización de clientes</t>
  </si>
  <si>
    <t>ID Cliente</t>
  </si>
  <si>
    <t>Razón Social</t>
  </si>
  <si>
    <t>Ciudad</t>
  </si>
  <si>
    <t>Dirección</t>
  </si>
  <si>
    <t>Teléfono</t>
  </si>
  <si>
    <t>Cupo</t>
  </si>
  <si>
    <t>Contacto</t>
  </si>
  <si>
    <t>Estefanía Arango</t>
  </si>
  <si>
    <t>Calle 50 BB # 37-31</t>
  </si>
  <si>
    <t>Hilda</t>
  </si>
  <si>
    <t>Sebastian Arango</t>
  </si>
  <si>
    <t>Yesenia</t>
  </si>
  <si>
    <t>Ana Vallejo</t>
  </si>
  <si>
    <t>Calle 30 # 46-07</t>
  </si>
  <si>
    <t>Luis Pardo</t>
  </si>
  <si>
    <t>Martha Arango</t>
  </si>
  <si>
    <t>Bucaramanga</t>
  </si>
  <si>
    <t>Calle 30 # 40-45</t>
  </si>
  <si>
    <t>Ana</t>
  </si>
  <si>
    <t>Carolina Ruiz</t>
  </si>
  <si>
    <t>Calle 21 # 43-28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</si>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</sst>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_(&quot;$&quot;\ * #,##0_);_(&quot;$&quot;\ * \(#,##0\);_(&quot;$&quot;\ * &quot;-&quot;_);_(@_)"/>
    <numFmt numFmtId="165" formatCode="0.0"/>
    <numFmt numFmtId="166" formatCode="_([$$-240A]\ * #,##0_);_([$$-240A]\ * \(#,##0\);_([$$-240A]\ * &quot;-&quot;_);_(@_)"/>
    <numFmt numFmtId="168" formatCode="_-&quot;$&quot;* #,##0_-;\-&quot;$&quot;* #,##0_-;_-&quot;$&quot;* &quot;-&quot;??_-;_-@_-"/>
  </numFmts>
  <fonts count="11" x14ac:knownFonts="1"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7" tint="-0.249977111117893"/>
      <name val="Arial"/>
      <family val="2"/>
    </font>
    <font>
      <sz val="10"/>
      <color theme="1"/>
      <name val="Arial"/>
      <family val="2"/>
    </font>
    <font>
      <sz val="8"/>
      <name val="Segoe UI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8"/>
      <color theme="1"/>
      <name val="Arial"/>
      <family val="2"/>
    </font>
    <font>
      <b/>
      <sz val="28"/>
      <color theme="0"/>
      <name val="Arial"/>
      <family val="2"/>
    </font>
    <font>
      <b/>
      <sz val="1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92">
    <xf numFmtId="0" fontId="0" fillId="0" borderId="0" xfId="0"/>
    <xf numFmtId="0" fontId="0" fillId="3" borderId="0" xfId="0" applyFill="1"/>
    <xf numFmtId="165" fontId="0" fillId="0" borderId="0" xfId="0" applyNumberFormat="1"/>
    <xf numFmtId="166" fontId="0" fillId="0" borderId="0" xfId="0" applyNumberFormat="1"/>
    <xf numFmtId="0" fontId="1" fillId="3" borderId="1" xfId="0" applyFont="1" applyFill="1" applyBorder="1" applyAlignment="1">
      <alignment horizontal="center" vertical="center" wrapText="1"/>
    </xf>
    <xf numFmtId="165" fontId="1" fillId="3" borderId="1" xfId="0" applyNumberFormat="1" applyFont="1" applyFill="1" applyBorder="1" applyAlignment="1">
      <alignment horizontal="center" vertical="center" wrapText="1"/>
    </xf>
    <xf numFmtId="166" fontId="1" fillId="3" borderId="1" xfId="0" applyNumberFormat="1" applyFont="1" applyFill="1" applyBorder="1" applyAlignment="1">
      <alignment horizontal="center" vertical="center" wrapText="1"/>
    </xf>
    <xf numFmtId="0" fontId="0" fillId="0" borderId="14" xfId="0" applyBorder="1"/>
    <xf numFmtId="9" fontId="0" fillId="0" borderId="14" xfId="0" applyNumberFormat="1" applyBorder="1"/>
    <xf numFmtId="0" fontId="0" fillId="5" borderId="14" xfId="0" applyFill="1" applyBorder="1"/>
    <xf numFmtId="0" fontId="2" fillId="3" borderId="14" xfId="0" applyFont="1" applyFill="1" applyBorder="1"/>
    <xf numFmtId="0" fontId="5" fillId="0" borderId="0" xfId="0" applyFont="1"/>
    <xf numFmtId="168" fontId="5" fillId="6" borderId="16" xfId="1" applyNumberFormat="1" applyFont="1" applyFill="1" applyBorder="1" applyAlignment="1">
      <alignment horizontal="center" vertical="center"/>
    </xf>
    <xf numFmtId="168" fontId="5" fillId="6" borderId="17" xfId="1" applyNumberFormat="1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/>
    </xf>
    <xf numFmtId="0" fontId="7" fillId="7" borderId="19" xfId="0" applyFont="1" applyFill="1" applyBorder="1" applyAlignment="1">
      <alignment horizontal="center"/>
    </xf>
    <xf numFmtId="0" fontId="7" fillId="7" borderId="20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0" fillId="6" borderId="21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8" fillId="8" borderId="15" xfId="0" applyFont="1" applyFill="1" applyBorder="1" applyAlignment="1">
      <alignment horizontal="center" vertical="center"/>
    </xf>
    <xf numFmtId="168" fontId="5" fillId="8" borderId="15" xfId="1" applyNumberFormat="1" applyFont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168" fontId="5" fillId="8" borderId="16" xfId="1" applyNumberFormat="1" applyFont="1" applyFill="1" applyBorder="1" applyAlignment="1">
      <alignment horizontal="center" vertical="center"/>
    </xf>
    <xf numFmtId="0" fontId="0" fillId="8" borderId="21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26" xfId="0" applyFill="1" applyBorder="1"/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right"/>
    </xf>
    <xf numFmtId="0" fontId="6" fillId="3" borderId="10" xfId="0" applyFont="1" applyFill="1" applyBorder="1" applyAlignment="1">
      <alignment horizontal="right"/>
    </xf>
    <xf numFmtId="0" fontId="6" fillId="3" borderId="8" xfId="0" applyFont="1" applyFill="1" applyBorder="1" applyAlignment="1">
      <alignment horizontal="right"/>
    </xf>
    <xf numFmtId="0" fontId="6" fillId="3" borderId="0" xfId="0" applyFont="1" applyFill="1" applyAlignment="1">
      <alignment horizontal="right"/>
    </xf>
    <xf numFmtId="164" fontId="6" fillId="3" borderId="1" xfId="0" applyNumberFormat="1" applyFont="1" applyFill="1" applyBorder="1"/>
    <xf numFmtId="0" fontId="6" fillId="3" borderId="0" xfId="0" applyFont="1" applyFill="1"/>
    <xf numFmtId="0" fontId="9" fillId="2" borderId="0" xfId="0" applyFont="1" applyFill="1" applyAlignment="1">
      <alignment horizontal="center"/>
    </xf>
    <xf numFmtId="0" fontId="6" fillId="2" borderId="2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6" fillId="2" borderId="4" xfId="0" applyFont="1" applyFill="1" applyBorder="1" applyAlignment="1">
      <alignment horizontal="center" vertical="top"/>
    </xf>
    <xf numFmtId="0" fontId="6" fillId="2" borderId="5" xfId="0" applyFont="1" applyFill="1" applyBorder="1" applyAlignment="1">
      <alignment horizontal="center" vertical="top"/>
    </xf>
    <xf numFmtId="0" fontId="6" fillId="2" borderId="6" xfId="0" applyFont="1" applyFill="1" applyBorder="1" applyAlignment="1">
      <alignment horizontal="center" vertical="top"/>
    </xf>
    <xf numFmtId="0" fontId="6" fillId="2" borderId="7" xfId="0" applyFont="1" applyFill="1" applyBorder="1" applyAlignment="1">
      <alignment horizontal="center" vertical="top"/>
    </xf>
    <xf numFmtId="0" fontId="5" fillId="9" borderId="18" xfId="0" applyFont="1" applyFill="1" applyBorder="1" applyAlignment="1">
      <alignment horizontal="center" vertical="center"/>
    </xf>
    <xf numFmtId="0" fontId="5" fillId="9" borderId="19" xfId="0" applyFont="1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/>
    </xf>
    <xf numFmtId="0" fontId="8" fillId="10" borderId="15" xfId="0" applyFont="1" applyFill="1" applyBorder="1" applyAlignment="1">
      <alignment horizontal="center" vertical="center"/>
    </xf>
    <xf numFmtId="168" fontId="5" fillId="10" borderId="15" xfId="1" applyNumberFormat="1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horizontal="center" vertical="center"/>
    </xf>
    <xf numFmtId="168" fontId="5" fillId="10" borderId="16" xfId="1" applyNumberFormat="1" applyFont="1" applyFill="1" applyBorder="1" applyAlignment="1">
      <alignment horizontal="center" vertical="center"/>
    </xf>
    <xf numFmtId="0" fontId="0" fillId="10" borderId="21" xfId="0" applyFill="1" applyBorder="1"/>
    <xf numFmtId="0" fontId="0" fillId="10" borderId="23" xfId="0" applyFill="1" applyBorder="1"/>
    <xf numFmtId="0" fontId="0" fillId="10" borderId="24" xfId="0" applyFill="1" applyBorder="1"/>
    <xf numFmtId="0" fontId="0" fillId="10" borderId="26" xfId="0" applyFill="1" applyBorder="1"/>
    <xf numFmtId="0" fontId="7" fillId="0" borderId="14" xfId="0" applyFont="1" applyBorder="1" applyAlignment="1">
      <alignment horizontal="center" vertical="center"/>
    </xf>
    <xf numFmtId="0" fontId="5" fillId="11" borderId="18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0" fillId="12" borderId="21" xfId="0" applyFill="1" applyBorder="1"/>
    <xf numFmtId="0" fontId="0" fillId="12" borderId="23" xfId="0" applyFill="1" applyBorder="1"/>
    <xf numFmtId="0" fontId="8" fillId="12" borderId="15" xfId="0" applyFont="1" applyFill="1" applyBorder="1" applyAlignment="1">
      <alignment horizontal="center" vertical="center"/>
    </xf>
    <xf numFmtId="168" fontId="5" fillId="12" borderId="15" xfId="1" applyNumberFormat="1" applyFont="1" applyFill="1" applyBorder="1" applyAlignment="1">
      <alignment horizontal="center" vertical="center"/>
    </xf>
    <xf numFmtId="0" fontId="0" fillId="12" borderId="24" xfId="0" applyFill="1" applyBorder="1"/>
    <xf numFmtId="0" fontId="0" fillId="12" borderId="26" xfId="0" applyFont="1" applyFill="1" applyBorder="1"/>
    <xf numFmtId="0" fontId="8" fillId="12" borderId="16" xfId="0" applyFont="1" applyFill="1" applyBorder="1" applyAlignment="1">
      <alignment horizontal="center" vertical="center"/>
    </xf>
    <xf numFmtId="168" fontId="5" fillId="12" borderId="16" xfId="1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left" vertical="center"/>
    </xf>
    <xf numFmtId="0" fontId="7" fillId="13" borderId="10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center" vertical="center"/>
    </xf>
    <xf numFmtId="0" fontId="7" fillId="13" borderId="10" xfId="0" applyFont="1" applyFill="1" applyBorder="1" applyAlignment="1">
      <alignment horizontal="center" vertical="center"/>
    </xf>
    <xf numFmtId="164" fontId="7" fillId="13" borderId="8" xfId="0" applyNumberFormat="1" applyFont="1" applyFill="1" applyBorder="1" applyAlignment="1">
      <alignment horizontal="center" vertical="center"/>
    </xf>
    <xf numFmtId="164" fontId="7" fillId="13" borderId="1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right" vertical="center"/>
    </xf>
    <xf numFmtId="0" fontId="6" fillId="3" borderId="12" xfId="0" applyFont="1" applyFill="1" applyBorder="1" applyAlignment="1">
      <alignment horizontal="right" vertical="center"/>
    </xf>
    <xf numFmtId="0" fontId="6" fillId="3" borderId="13" xfId="0" applyFont="1" applyFill="1" applyBorder="1" applyAlignment="1">
      <alignment horizontal="right" vertical="center"/>
    </xf>
    <xf numFmtId="0" fontId="10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</cellXfs>
  <cellStyles count="2">
    <cellStyle name="Moneda" xfId="1" builtinId="4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I$15" lockText="1"/>
</file>

<file path=xl/ctrlProps/ctrlProp2.xml><?xml version="1.0" encoding="utf-8"?>
<formControlPr xmlns="http://schemas.microsoft.com/office/spreadsheetml/2009/9/main" objectType="CheckBox" checked="Checked" fmlaLink="$I$13" lockText="1"/>
</file>

<file path=xl/ctrlProps/ctrlProp3.xml><?xml version="1.0" encoding="utf-8"?>
<formControlPr xmlns="http://schemas.microsoft.com/office/spreadsheetml/2009/9/main" objectType="Spin" dx="22" fmlaLink="$I$10" max="4" min="1" page="10" val="4"/>
</file>

<file path=xl/ctrlProps/ctrlProp4.xml><?xml version="1.0" encoding="utf-8"?>
<formControlPr xmlns="http://schemas.microsoft.com/office/spreadsheetml/2009/9/main" objectType="Spin" dx="22" fmlaLink="$I$12" max="6" min="1" page="10" val="6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I$11" lockText="1"/>
</file>

<file path=xl/ctrlProps/ctrlProp7.xml><?xml version="1.0" encoding="utf-8"?>
<formControlPr xmlns="http://schemas.microsoft.com/office/spreadsheetml/2009/9/main" objectType="Radio" checked="Checked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I$14" lockText="1"/>
</file>

<file path=xl/ctrlProps/ctrlProp10.xml><?xml version="1.0" encoding="utf-8"?>
<formControlPr xmlns="http://schemas.microsoft.com/office/spreadsheetml/2009/9/main" objectType="Radio" checked="Checked" lockText="1"/>
</file>

<file path=xl/ctrlProps/ctrlProp11.xml><?xml version="1.0" encoding="utf-8"?>
<formControlPr xmlns="http://schemas.microsoft.com/office/spreadsheetml/2009/9/main" objectType="Drop" dropLines="4" dropStyle="combo" dx="22" fmlaLink="$F$20" fmlaRange="Datos!$H$7:$H$10" sel="4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Lines="4" dropStyle="combo" dx="22" fmlaLink="$E$3" fmlaRange="$K$1:$K$4" sel="1" val="0"/>
</file>

<file path=xl/ctrlProps/ctrlProp14.xml><?xml version="1.0" encoding="utf-8"?>
<formControlPr xmlns="http://schemas.microsoft.com/office/spreadsheetml/2009/9/main" objectType="CheckBox" checked="Checked" fmlaLink="$D$7" lockText="1"/>
</file>

<file path=xl/ctrlProps/ctrlProp15.xml><?xml version="1.0" encoding="utf-8"?>
<formControlPr xmlns="http://schemas.microsoft.com/office/spreadsheetml/2009/9/main" objectType="Spin" dx="22" fmlaLink="$D$12" max="4" page="10" val="4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checked="Checked" firstButton="1" fmlaLink="$D$16" lockText="1"/>
</file>

<file path=xl/ctrlProps/ctrlProp18.xml><?xml version="1.0" encoding="utf-8"?>
<formControlPr xmlns="http://schemas.microsoft.com/office/spreadsheetml/2009/9/main" objectType="Radio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14</xdr:row>
          <xdr:rowOff>133350</xdr:rowOff>
        </xdr:from>
        <xdr:to>
          <xdr:col>6</xdr:col>
          <xdr:colOff>619125</xdr:colOff>
          <xdr:row>15</xdr:row>
          <xdr:rowOff>28575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2DD52A0-CBAC-47E5-808D-23DCAF5C0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752475</xdr:colOff>
          <xdr:row>12</xdr:row>
          <xdr:rowOff>161925</xdr:rowOff>
        </xdr:from>
        <xdr:to>
          <xdr:col>6</xdr:col>
          <xdr:colOff>609600</xdr:colOff>
          <xdr:row>13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472BDC2-DE2C-4F87-A454-A4C280091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38101</xdr:colOff>
          <xdr:row>9</xdr:row>
          <xdr:rowOff>28575</xdr:rowOff>
        </xdr:from>
        <xdr:to>
          <xdr:col>6</xdr:col>
          <xdr:colOff>190501</xdr:colOff>
          <xdr:row>10</xdr:row>
          <xdr:rowOff>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9939B5A7-7B03-4C12-B2D9-B233D3B77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11</xdr:row>
          <xdr:rowOff>38100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8665C945-C29F-4CD6-B167-55DA6DCE8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10</xdr:row>
          <xdr:rowOff>47624</xdr:rowOff>
        </xdr:from>
        <xdr:to>
          <xdr:col>7</xdr:col>
          <xdr:colOff>942975</xdr:colOff>
          <xdr:row>11</xdr:row>
          <xdr:rowOff>9524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6807BDFF-A134-4F6C-9378-B9C4690AD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10</xdr:row>
          <xdr:rowOff>85725</xdr:rowOff>
        </xdr:from>
        <xdr:to>
          <xdr:col>6</xdr:col>
          <xdr:colOff>590550</xdr:colOff>
          <xdr:row>10</xdr:row>
          <xdr:rowOff>285750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B3095070-1F75-4DB9-B415-E0E3E5540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695325</xdr:colOff>
          <xdr:row>10</xdr:row>
          <xdr:rowOff>85725</xdr:rowOff>
        </xdr:from>
        <xdr:to>
          <xdr:col>7</xdr:col>
          <xdr:colOff>485775</xdr:colOff>
          <xdr:row>10</xdr:row>
          <xdr:rowOff>285750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B3095070-1F75-4DB9-B415-E0E3E5540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47625</xdr:rowOff>
        </xdr:from>
        <xdr:to>
          <xdr:col>7</xdr:col>
          <xdr:colOff>942975</xdr:colOff>
          <xdr:row>14</xdr:row>
          <xdr:rowOff>9525</xdr:rowOff>
        </xdr:to>
        <xdr:sp macro="" textlink="">
          <xdr:nvSpPr>
            <xdr:cNvPr id="3080" name="Group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822C210F-5639-402D-BAB3-72B745942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13</xdr:row>
          <xdr:rowOff>85725</xdr:rowOff>
        </xdr:from>
        <xdr:to>
          <xdr:col>6</xdr:col>
          <xdr:colOff>609600</xdr:colOff>
          <xdr:row>13</xdr:row>
          <xdr:rowOff>285750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B3095070-1F75-4DB9-B415-E0E3E5540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13</xdr:row>
          <xdr:rowOff>85725</xdr:rowOff>
        </xdr:from>
        <xdr:to>
          <xdr:col>7</xdr:col>
          <xdr:colOff>590550</xdr:colOff>
          <xdr:row>13</xdr:row>
          <xdr:rowOff>285750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B3095070-1F75-4DB9-B415-E0E3E5540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19</xdr:row>
          <xdr:rowOff>47625</xdr:rowOff>
        </xdr:from>
        <xdr:to>
          <xdr:col>7</xdr:col>
          <xdr:colOff>361950</xdr:colOff>
          <xdr:row>19</xdr:row>
          <xdr:rowOff>247650</xdr:rowOff>
        </xdr:to>
        <xdr:sp macro="" textlink="">
          <xdr:nvSpPr>
            <xdr:cNvPr id="3089" name="Drop Dow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27772EFF-9037-4757-BCFD-0C1BE2694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57150</xdr:colOff>
          <xdr:row>0</xdr:row>
          <xdr:rowOff>57150</xdr:rowOff>
        </xdr:from>
        <xdr:to>
          <xdr:col>17</xdr:col>
          <xdr:colOff>9525</xdr:colOff>
          <xdr:row>0</xdr:row>
          <xdr:rowOff>647700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FA0D39B9-C0A3-4B23-A2D8-864E59F39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104777</xdr:colOff>
          <xdr:row>2</xdr:row>
          <xdr:rowOff>38100</xdr:rowOff>
        </xdr:from>
        <xdr:to>
          <xdr:col>2</xdr:col>
          <xdr:colOff>704851</xdr:colOff>
          <xdr:row>3</xdr:row>
          <xdr:rowOff>133350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C975A0D-6A82-4CBE-A43D-BF787A1B4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6</xdr:row>
          <xdr:rowOff>66675</xdr:rowOff>
        </xdr:from>
        <xdr:to>
          <xdr:col>2</xdr:col>
          <xdr:colOff>609600</xdr:colOff>
          <xdr:row>7</xdr:row>
          <xdr:rowOff>95249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AF4572C-0F0B-4581-A4EF-6562918E3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Rines de lujo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11</xdr:row>
          <xdr:rowOff>9525</xdr:rowOff>
        </xdr:from>
        <xdr:to>
          <xdr:col>1</xdr:col>
          <xdr:colOff>714375</xdr:colOff>
          <xdr:row>12</xdr:row>
          <xdr:rowOff>152400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BFB527F-BB0D-43A2-9099-B2A528A45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38100</xdr:rowOff>
        </xdr:from>
        <xdr:to>
          <xdr:col>2</xdr:col>
          <xdr:colOff>733425</xdr:colOff>
          <xdr:row>16</xdr:row>
          <xdr:rowOff>133350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775E80D-DBF3-4634-B816-AF1BDB448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15</xdr:row>
          <xdr:rowOff>85725</xdr:rowOff>
        </xdr:from>
        <xdr:to>
          <xdr:col>1</xdr:col>
          <xdr:colOff>561975</xdr:colOff>
          <xdr:row>16</xdr:row>
          <xdr:rowOff>85725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93EE9756-451D-4E93-BCEA-586C584A8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666750</xdr:colOff>
          <xdr:row>15</xdr:row>
          <xdr:rowOff>85725</xdr:rowOff>
        </xdr:from>
        <xdr:to>
          <xdr:col>2</xdr:col>
          <xdr:colOff>371475</xdr:colOff>
          <xdr:row>16</xdr:row>
          <xdr:rowOff>85725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93EE9756-451D-4E93-BCEA-586C584A8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3</xdr:row>
      <xdr:rowOff>19050</xdr:rowOff>
    </xdr:from>
    <xdr:to>
      <xdr:col>4</xdr:col>
      <xdr:colOff>476250</xdr:colOff>
      <xdr:row>4</xdr:row>
      <xdr:rowOff>152400</xdr:rowOff>
    </xdr:to>
    <xdr:sp macro="[0]!Registra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E6B646D5-E9B0-4CD4-ACDE-A27668D83FC1}"/>
            </a:ext>
          </a:extLst>
        </xdr:cNvPr>
        <xdr:cNvSpPr/>
      </xdr:nvSpPr>
      <xdr:spPr>
        <a:xfrm>
          <a:off x="2533650" y="504825"/>
          <a:ext cx="1200150" cy="295275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Registrar</a:t>
          </a:r>
        </a:p>
      </xdr:txBody>
    </xdr:sp>
    <xdr:clientData/>
  </xdr:twoCellAnchor>
  <xdr:twoCellAnchor>
    <xdr:from>
      <xdr:col>3</xdr:col>
      <xdr:colOff>38100</xdr:colOff>
      <xdr:row>5</xdr:row>
      <xdr:rowOff>85725</xdr:rowOff>
    </xdr:from>
    <xdr:to>
      <xdr:col>4</xdr:col>
      <xdr:colOff>476250</xdr:colOff>
      <xdr:row>7</xdr:row>
      <xdr:rowOff>57150</xdr:rowOff>
    </xdr:to>
    <xdr:sp macro="[0]!Nuev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7C70B77B-7990-47C6-A113-7E5FFD5978B5}"/>
            </a:ext>
          </a:extLst>
        </xdr:cNvPr>
        <xdr:cNvSpPr/>
      </xdr:nvSpPr>
      <xdr:spPr>
        <a:xfrm>
          <a:off x="2533650" y="895350"/>
          <a:ext cx="1200150" cy="295275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Nuevo</a:t>
          </a:r>
        </a:p>
      </xdr:txBody>
    </xdr:sp>
    <xdr:clientData/>
  </xdr:twoCellAnchor>
  <xdr:twoCellAnchor>
    <xdr:from>
      <xdr:col>3</xdr:col>
      <xdr:colOff>38100</xdr:colOff>
      <xdr:row>7</xdr:row>
      <xdr:rowOff>152400</xdr:rowOff>
    </xdr:from>
    <xdr:to>
      <xdr:col>4</xdr:col>
      <xdr:colOff>476250</xdr:colOff>
      <xdr:row>9</xdr:row>
      <xdr:rowOff>123825</xdr:rowOff>
    </xdr:to>
    <xdr:sp macro="[0]!Consultar" textlink="">
      <xdr:nvSpPr>
        <xdr:cNvPr id="4" name="Rectángulo: biselado 3">
          <a:extLst>
            <a:ext uri="{FF2B5EF4-FFF2-40B4-BE49-F238E27FC236}">
              <a16:creationId xmlns:a16="http://schemas.microsoft.com/office/drawing/2014/main" id="{5C5388D4-410D-4649-909B-259FFD1A77A8}"/>
            </a:ext>
          </a:extLst>
        </xdr:cNvPr>
        <xdr:cNvSpPr/>
      </xdr:nvSpPr>
      <xdr:spPr>
        <a:xfrm>
          <a:off x="2533650" y="1285875"/>
          <a:ext cx="1200150" cy="295275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Consultar</a:t>
          </a:r>
        </a:p>
      </xdr:txBody>
    </xdr:sp>
    <xdr:clientData/>
  </xdr:twoCellAnchor>
  <xdr:twoCellAnchor>
    <xdr:from>
      <xdr:col>4</xdr:col>
      <xdr:colOff>714375</xdr:colOff>
      <xdr:row>3</xdr:row>
      <xdr:rowOff>19050</xdr:rowOff>
    </xdr:from>
    <xdr:to>
      <xdr:col>5</xdr:col>
      <xdr:colOff>552450</xdr:colOff>
      <xdr:row>4</xdr:row>
      <xdr:rowOff>152400</xdr:rowOff>
    </xdr:to>
    <xdr:sp macro="[0]!Ordenar" textlink="">
      <xdr:nvSpPr>
        <xdr:cNvPr id="5" name="Rectángulo: biselado 4">
          <a:extLst>
            <a:ext uri="{FF2B5EF4-FFF2-40B4-BE49-F238E27FC236}">
              <a16:creationId xmlns:a16="http://schemas.microsoft.com/office/drawing/2014/main" id="{A9A205FB-4180-4F9F-AEA6-BFBE02A5FC01}"/>
            </a:ext>
          </a:extLst>
        </xdr:cNvPr>
        <xdr:cNvSpPr/>
      </xdr:nvSpPr>
      <xdr:spPr>
        <a:xfrm>
          <a:off x="3971925" y="504825"/>
          <a:ext cx="1200150" cy="295275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Ordenar</a:t>
          </a:r>
        </a:p>
      </xdr:txBody>
    </xdr:sp>
    <xdr:clientData/>
  </xdr:twoCellAnchor>
  <xdr:twoCellAnchor>
    <xdr:from>
      <xdr:col>4</xdr:col>
      <xdr:colOff>714375</xdr:colOff>
      <xdr:row>5</xdr:row>
      <xdr:rowOff>76200</xdr:rowOff>
    </xdr:from>
    <xdr:to>
      <xdr:col>5</xdr:col>
      <xdr:colOff>552450</xdr:colOff>
      <xdr:row>7</xdr:row>
      <xdr:rowOff>47625</xdr:rowOff>
    </xdr:to>
    <xdr:sp macro="" textlink="">
      <xdr:nvSpPr>
        <xdr:cNvPr id="8" name="Rectángulo: biselado 7">
          <a:extLst>
            <a:ext uri="{FF2B5EF4-FFF2-40B4-BE49-F238E27FC236}">
              <a16:creationId xmlns:a16="http://schemas.microsoft.com/office/drawing/2014/main" id="{6D0CEFF3-3DD7-4C99-9D3C-64F52489AD17}"/>
            </a:ext>
          </a:extLst>
        </xdr:cNvPr>
        <xdr:cNvSpPr/>
      </xdr:nvSpPr>
      <xdr:spPr>
        <a:xfrm>
          <a:off x="3971925" y="885825"/>
          <a:ext cx="1200150" cy="295275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6C3DCE-0B88-44AD-80F6-FC98625D96A1}" name="Clientes" displayName="Clientes" ref="B12:H17" totalsRowShown="0" headerRowDxfId="0">
  <autoFilter ref="B12:H17" xr:uid="{F4BB7DDC-8DE0-489D-870C-DF36F6EF4C43}"/>
  <sortState ref="B13:H17">
    <sortCondition ref="B13:B17"/>
  </sortState>
  <tableColumns count="7">
    <tableColumn id="1" xr3:uid="{8E60EFCC-D896-4A14-A2CE-A46EC5604072}" name="ID Cliente"/>
    <tableColumn id="2" xr3:uid="{C8C4B3DA-D439-4936-B664-69088423A510}" name="Razón Social"/>
    <tableColumn id="3" xr3:uid="{87D469FA-ECAB-4853-8372-3184300D5081}" name="Ciudad"/>
    <tableColumn id="4" xr3:uid="{924AE5F4-523E-4CC4-8BB8-337B2AB37015}" name="Dirección"/>
    <tableColumn id="5" xr3:uid="{CFD8A7B0-335B-483E-8266-2E3418B89217}" name="Teléfono"/>
    <tableColumn id="6" xr3:uid="{9F10B366-4502-4678-8784-256C24F3C702}" name="Cupo"/>
    <tableColumn id="7" xr3:uid="{560A5900-C757-4E2A-82D0-D0EF84247697}" name="Contac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89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25.42578125" customWidth="1"/>
    <col min="2" max="2" width="11.42578125" style="2"/>
    <col min="3" max="3" width="12.85546875" style="3" bestFit="1" customWidth="1"/>
    <col min="8" max="8" width="12.7109375" bestFit="1" customWidth="1"/>
  </cols>
  <sheetData>
    <row r="1" spans="1:9" ht="15.75" x14ac:dyDescent="0.2">
      <c r="A1" s="4" t="s">
        <v>13</v>
      </c>
      <c r="B1" s="5" t="s">
        <v>14</v>
      </c>
      <c r="C1" s="6" t="s">
        <v>15</v>
      </c>
    </row>
    <row r="2" spans="1:9" x14ac:dyDescent="0.2">
      <c r="A2" t="s">
        <v>25</v>
      </c>
      <c r="B2" s="2">
        <v>1.6</v>
      </c>
      <c r="C2" s="3">
        <v>23500000</v>
      </c>
    </row>
    <row r="3" spans="1:9" x14ac:dyDescent="0.2">
      <c r="A3" t="s">
        <v>26</v>
      </c>
      <c r="B3" s="2">
        <v>2</v>
      </c>
      <c r="C3" s="3">
        <v>26500000</v>
      </c>
    </row>
    <row r="4" spans="1:9" x14ac:dyDescent="0.2">
      <c r="A4" t="s">
        <v>27</v>
      </c>
      <c r="B4" s="2">
        <v>3.5</v>
      </c>
      <c r="C4" s="3">
        <v>29500000</v>
      </c>
    </row>
    <row r="5" spans="1:9" x14ac:dyDescent="0.2">
      <c r="A5" t="s">
        <v>28</v>
      </c>
      <c r="B5" s="2">
        <v>4.3</v>
      </c>
      <c r="C5" s="3">
        <v>32500000</v>
      </c>
    </row>
    <row r="6" spans="1:9" x14ac:dyDescent="0.2">
      <c r="A6" t="s">
        <v>29</v>
      </c>
      <c r="B6" s="2">
        <v>1.2</v>
      </c>
      <c r="C6" s="3">
        <v>35500000</v>
      </c>
      <c r="G6" s="9" t="s">
        <v>112</v>
      </c>
      <c r="H6" s="9" t="s">
        <v>113</v>
      </c>
      <c r="I6" s="9" t="s">
        <v>114</v>
      </c>
    </row>
    <row r="7" spans="1:9" x14ac:dyDescent="0.2">
      <c r="A7" t="s">
        <v>30</v>
      </c>
      <c r="B7" s="2">
        <v>1</v>
      </c>
      <c r="C7" s="3">
        <v>38500000</v>
      </c>
      <c r="G7" s="7">
        <v>1</v>
      </c>
      <c r="H7" s="7" t="s">
        <v>109</v>
      </c>
      <c r="I7" s="8">
        <v>0.02</v>
      </c>
    </row>
    <row r="8" spans="1:9" x14ac:dyDescent="0.2">
      <c r="A8" t="s">
        <v>31</v>
      </c>
      <c r="B8" s="2">
        <v>2</v>
      </c>
      <c r="C8" s="3">
        <v>41500000</v>
      </c>
      <c r="G8" s="7">
        <v>2</v>
      </c>
      <c r="H8" s="7" t="s">
        <v>110</v>
      </c>
      <c r="I8" s="8">
        <v>0.04</v>
      </c>
    </row>
    <row r="9" spans="1:9" x14ac:dyDescent="0.2">
      <c r="A9" t="s">
        <v>32</v>
      </c>
      <c r="B9" s="2">
        <v>3</v>
      </c>
      <c r="C9" s="3">
        <v>44500000</v>
      </c>
      <c r="G9" s="7">
        <v>3</v>
      </c>
      <c r="H9" s="7" t="s">
        <v>111</v>
      </c>
      <c r="I9" s="8">
        <v>0.06</v>
      </c>
    </row>
    <row r="10" spans="1:9" x14ac:dyDescent="0.2">
      <c r="A10" t="s">
        <v>33</v>
      </c>
      <c r="B10" s="2">
        <v>4.5</v>
      </c>
      <c r="C10" s="3">
        <v>47500000</v>
      </c>
      <c r="G10" s="7">
        <v>4</v>
      </c>
      <c r="H10" s="7" t="s">
        <v>115</v>
      </c>
      <c r="I10" s="8">
        <v>0.08</v>
      </c>
    </row>
    <row r="11" spans="1:9" x14ac:dyDescent="0.2">
      <c r="A11" t="s">
        <v>34</v>
      </c>
      <c r="B11" s="2">
        <v>5.2</v>
      </c>
      <c r="C11" s="3">
        <v>50500000</v>
      </c>
    </row>
    <row r="12" spans="1:9" x14ac:dyDescent="0.2">
      <c r="A12" t="s">
        <v>35</v>
      </c>
      <c r="B12" s="2">
        <v>4.0999999999999996</v>
      </c>
      <c r="C12" s="3">
        <v>53500000</v>
      </c>
    </row>
    <row r="13" spans="1:9" x14ac:dyDescent="0.2">
      <c r="A13" t="s">
        <v>36</v>
      </c>
      <c r="B13" s="2">
        <v>4</v>
      </c>
      <c r="C13" s="3">
        <v>56500000</v>
      </c>
    </row>
    <row r="14" spans="1:9" x14ac:dyDescent="0.2">
      <c r="A14" t="s">
        <v>37</v>
      </c>
      <c r="B14" s="2">
        <f t="shared" ref="B14" ca="1" si="0">RANDBETWEEN(1,5)</f>
        <v>1</v>
      </c>
      <c r="C14" s="3">
        <v>59500000</v>
      </c>
    </row>
    <row r="15" spans="1:9" x14ac:dyDescent="0.2">
      <c r="A15" t="s">
        <v>38</v>
      </c>
      <c r="B15" s="2">
        <v>1.2</v>
      </c>
      <c r="C15" s="3">
        <v>62500000</v>
      </c>
    </row>
    <row r="16" spans="1:9" x14ac:dyDescent="0.2">
      <c r="A16" t="s">
        <v>39</v>
      </c>
      <c r="B16" s="2">
        <v>1.7</v>
      </c>
      <c r="C16" s="3">
        <v>65500000</v>
      </c>
    </row>
    <row r="17" spans="1:3" x14ac:dyDescent="0.2">
      <c r="A17" t="s">
        <v>40</v>
      </c>
      <c r="B17" s="2">
        <v>2.2000000000000002</v>
      </c>
      <c r="C17" s="3">
        <v>34200000</v>
      </c>
    </row>
    <row r="18" spans="1:3" x14ac:dyDescent="0.2">
      <c r="A18" t="s">
        <v>17</v>
      </c>
      <c r="B18" s="2">
        <v>2.7</v>
      </c>
      <c r="C18" s="3">
        <v>38100000</v>
      </c>
    </row>
    <row r="19" spans="1:3" x14ac:dyDescent="0.2">
      <c r="A19" t="s">
        <v>21</v>
      </c>
      <c r="B19" s="2">
        <v>3.2</v>
      </c>
      <c r="C19" s="3">
        <v>42000000</v>
      </c>
    </row>
    <row r="20" spans="1:3" x14ac:dyDescent="0.2">
      <c r="A20" t="s">
        <v>18</v>
      </c>
      <c r="B20" s="2">
        <v>3.7</v>
      </c>
      <c r="C20" s="3">
        <v>45900000</v>
      </c>
    </row>
    <row r="21" spans="1:3" x14ac:dyDescent="0.2">
      <c r="A21" t="s">
        <v>19</v>
      </c>
      <c r="B21" s="2">
        <v>4.2</v>
      </c>
      <c r="C21" s="3">
        <v>49800000</v>
      </c>
    </row>
    <row r="22" spans="1:3" x14ac:dyDescent="0.2">
      <c r="A22" t="s">
        <v>20</v>
      </c>
      <c r="B22" s="2">
        <v>4.7</v>
      </c>
      <c r="C22" s="3">
        <v>53700000</v>
      </c>
    </row>
    <row r="23" spans="1:3" x14ac:dyDescent="0.2">
      <c r="A23" t="s">
        <v>16</v>
      </c>
      <c r="B23" s="2">
        <v>1.6</v>
      </c>
      <c r="C23" s="3">
        <v>57600000</v>
      </c>
    </row>
    <row r="24" spans="1:3" x14ac:dyDescent="0.2">
      <c r="A24" t="s">
        <v>41</v>
      </c>
      <c r="B24" s="2">
        <v>1.9</v>
      </c>
      <c r="C24" s="3">
        <v>61500000</v>
      </c>
    </row>
    <row r="25" spans="1:3" x14ac:dyDescent="0.2">
      <c r="A25" t="s">
        <v>42</v>
      </c>
      <c r="B25" s="2">
        <v>2.2000000000000002</v>
      </c>
      <c r="C25" s="3">
        <v>65400000</v>
      </c>
    </row>
    <row r="26" spans="1:3" x14ac:dyDescent="0.2">
      <c r="A26" t="s">
        <v>43</v>
      </c>
      <c r="B26" s="2">
        <v>2.5</v>
      </c>
      <c r="C26" s="3">
        <v>69300000</v>
      </c>
    </row>
    <row r="27" spans="1:3" x14ac:dyDescent="0.2">
      <c r="A27" t="s">
        <v>44</v>
      </c>
      <c r="B27" s="2">
        <v>2.8</v>
      </c>
      <c r="C27" s="3">
        <v>73200000</v>
      </c>
    </row>
    <row r="28" spans="1:3" x14ac:dyDescent="0.2">
      <c r="A28" t="s">
        <v>45</v>
      </c>
      <c r="B28" s="2">
        <v>3.1</v>
      </c>
      <c r="C28" s="3">
        <v>21500000</v>
      </c>
    </row>
    <row r="29" spans="1:3" x14ac:dyDescent="0.2">
      <c r="A29" t="s">
        <v>46</v>
      </c>
      <c r="B29" s="2">
        <v>3.4</v>
      </c>
      <c r="C29" s="3">
        <v>28900000</v>
      </c>
    </row>
    <row r="30" spans="1:3" x14ac:dyDescent="0.2">
      <c r="A30" t="s">
        <v>47</v>
      </c>
      <c r="B30" s="2">
        <v>3.7</v>
      </c>
      <c r="C30" s="3">
        <v>36300000</v>
      </c>
    </row>
    <row r="31" spans="1:3" x14ac:dyDescent="0.2">
      <c r="A31" t="s">
        <v>48</v>
      </c>
      <c r="B31" s="2">
        <v>4</v>
      </c>
      <c r="C31" s="3">
        <v>43700000</v>
      </c>
    </row>
    <row r="32" spans="1:3" x14ac:dyDescent="0.2">
      <c r="A32" t="s">
        <v>49</v>
      </c>
      <c r="B32" s="2">
        <v>4.3</v>
      </c>
      <c r="C32" s="3">
        <v>51100000</v>
      </c>
    </row>
    <row r="33" spans="1:3" x14ac:dyDescent="0.2">
      <c r="A33" t="s">
        <v>50</v>
      </c>
      <c r="B33" s="2">
        <v>4.5999999999999996</v>
      </c>
      <c r="C33" s="3">
        <v>58500000</v>
      </c>
    </row>
    <row r="34" spans="1:3" x14ac:dyDescent="0.2">
      <c r="A34" t="s">
        <v>51</v>
      </c>
      <c r="B34" s="2">
        <v>4.9000000000000004</v>
      </c>
      <c r="C34" s="3">
        <v>21900000</v>
      </c>
    </row>
    <row r="35" spans="1:3" x14ac:dyDescent="0.2">
      <c r="A35" t="s">
        <v>52</v>
      </c>
      <c r="B35" s="2">
        <v>5.2</v>
      </c>
      <c r="C35" s="3">
        <v>24500000</v>
      </c>
    </row>
    <row r="36" spans="1:3" x14ac:dyDescent="0.2">
      <c r="A36" t="s">
        <v>53</v>
      </c>
      <c r="B36" s="2">
        <v>1.5</v>
      </c>
      <c r="C36" s="3">
        <v>27100000</v>
      </c>
    </row>
    <row r="37" spans="1:3" x14ac:dyDescent="0.2">
      <c r="A37" t="s">
        <v>54</v>
      </c>
      <c r="B37" s="2">
        <v>1.7</v>
      </c>
      <c r="C37" s="3">
        <v>29700000</v>
      </c>
    </row>
    <row r="38" spans="1:3" x14ac:dyDescent="0.2">
      <c r="A38" t="s">
        <v>55</v>
      </c>
      <c r="B38" s="2">
        <v>1.9</v>
      </c>
      <c r="C38" s="3">
        <v>32300000</v>
      </c>
    </row>
    <row r="39" spans="1:3" x14ac:dyDescent="0.2">
      <c r="A39" t="s">
        <v>56</v>
      </c>
      <c r="B39" s="2">
        <v>2.1</v>
      </c>
      <c r="C39" s="3">
        <v>34900000</v>
      </c>
    </row>
    <row r="40" spans="1:3" x14ac:dyDescent="0.2">
      <c r="A40" t="s">
        <v>57</v>
      </c>
      <c r="B40" s="2">
        <v>2.2999999999999998</v>
      </c>
      <c r="C40" s="3">
        <v>37500000</v>
      </c>
    </row>
    <row r="41" spans="1:3" x14ac:dyDescent="0.2">
      <c r="A41" t="s">
        <v>58</v>
      </c>
      <c r="B41" s="2">
        <v>2.5</v>
      </c>
      <c r="C41" s="3">
        <v>40100000</v>
      </c>
    </row>
    <row r="42" spans="1:3" x14ac:dyDescent="0.2">
      <c r="A42" t="s">
        <v>59</v>
      </c>
      <c r="B42" s="2">
        <v>2.7</v>
      </c>
      <c r="C42" s="3">
        <v>42700000</v>
      </c>
    </row>
    <row r="43" spans="1:3" x14ac:dyDescent="0.2">
      <c r="A43" t="s">
        <v>60</v>
      </c>
      <c r="B43" s="2">
        <v>2.9</v>
      </c>
      <c r="C43" s="3">
        <v>45300000</v>
      </c>
    </row>
    <row r="44" spans="1:3" x14ac:dyDescent="0.2">
      <c r="A44" t="s">
        <v>61</v>
      </c>
      <c r="B44" s="2">
        <v>3.1</v>
      </c>
      <c r="C44" s="3">
        <v>47900000</v>
      </c>
    </row>
    <row r="45" spans="1:3" x14ac:dyDescent="0.2">
      <c r="A45" t="s">
        <v>62</v>
      </c>
      <c r="B45" s="2">
        <v>3.3</v>
      </c>
      <c r="C45" s="3">
        <v>50500000</v>
      </c>
    </row>
    <row r="46" spans="1:3" x14ac:dyDescent="0.2">
      <c r="A46" t="s">
        <v>63</v>
      </c>
      <c r="B46" s="2">
        <v>3.5</v>
      </c>
      <c r="C46" s="3">
        <v>53100000</v>
      </c>
    </row>
    <row r="47" spans="1:3" x14ac:dyDescent="0.2">
      <c r="A47" t="s">
        <v>64</v>
      </c>
      <c r="B47" s="2">
        <v>3.7</v>
      </c>
      <c r="C47" s="3">
        <v>55700000</v>
      </c>
    </row>
    <row r="48" spans="1:3" x14ac:dyDescent="0.2">
      <c r="A48" t="s">
        <v>65</v>
      </c>
      <c r="B48" s="2">
        <v>3.9</v>
      </c>
      <c r="C48" s="3">
        <v>58300000</v>
      </c>
    </row>
    <row r="49" spans="1:3" x14ac:dyDescent="0.2">
      <c r="A49" t="s">
        <v>66</v>
      </c>
      <c r="B49" s="2">
        <v>4.0999999999999996</v>
      </c>
      <c r="C49" s="3">
        <v>60900000</v>
      </c>
    </row>
    <row r="50" spans="1:3" x14ac:dyDescent="0.2">
      <c r="A50" t="s">
        <v>67</v>
      </c>
      <c r="B50" s="2">
        <v>4.3</v>
      </c>
      <c r="C50" s="3">
        <v>63500000</v>
      </c>
    </row>
    <row r="51" spans="1:3" x14ac:dyDescent="0.2">
      <c r="A51" t="s">
        <v>68</v>
      </c>
      <c r="B51" s="2">
        <v>4.5</v>
      </c>
      <c r="C51" s="3">
        <v>66100000</v>
      </c>
    </row>
    <row r="52" spans="1:3" x14ac:dyDescent="0.2">
      <c r="A52" t="s">
        <v>69</v>
      </c>
      <c r="B52" s="2">
        <v>4.7</v>
      </c>
      <c r="C52" s="3">
        <v>68700000</v>
      </c>
    </row>
    <row r="53" spans="1:3" x14ac:dyDescent="0.2">
      <c r="A53" t="s">
        <v>70</v>
      </c>
      <c r="B53" s="2">
        <v>4.9000000000000004</v>
      </c>
      <c r="C53" s="3">
        <v>71300000</v>
      </c>
    </row>
    <row r="54" spans="1:3" x14ac:dyDescent="0.2">
      <c r="A54" t="s">
        <v>71</v>
      </c>
      <c r="B54" s="2">
        <v>1.6</v>
      </c>
      <c r="C54" s="3">
        <v>73900000</v>
      </c>
    </row>
    <row r="55" spans="1:3" x14ac:dyDescent="0.2">
      <c r="A55" t="s">
        <v>72</v>
      </c>
      <c r="B55" s="2">
        <v>2.1</v>
      </c>
      <c r="C55" s="3">
        <v>45200000</v>
      </c>
    </row>
    <row r="56" spans="1:3" x14ac:dyDescent="0.2">
      <c r="A56" t="s">
        <v>73</v>
      </c>
      <c r="B56" s="2">
        <v>2.6</v>
      </c>
      <c r="C56" s="3">
        <v>46300000</v>
      </c>
    </row>
    <row r="57" spans="1:3" x14ac:dyDescent="0.2">
      <c r="A57" t="s">
        <v>74</v>
      </c>
      <c r="B57" s="2">
        <v>3.1</v>
      </c>
      <c r="C57" s="3">
        <v>47400000</v>
      </c>
    </row>
    <row r="58" spans="1:3" x14ac:dyDescent="0.2">
      <c r="A58" t="s">
        <v>75</v>
      </c>
      <c r="B58" s="2">
        <v>3.6</v>
      </c>
      <c r="C58" s="3">
        <v>48500000</v>
      </c>
    </row>
    <row r="59" spans="1:3" x14ac:dyDescent="0.2">
      <c r="A59" t="s">
        <v>76</v>
      </c>
      <c r="B59" s="2">
        <v>4.0999999999999996</v>
      </c>
      <c r="C59" s="3">
        <v>49600000</v>
      </c>
    </row>
    <row r="60" spans="1:3" x14ac:dyDescent="0.2">
      <c r="A60" t="s">
        <v>77</v>
      </c>
      <c r="B60" s="2">
        <v>4.5999999999999996</v>
      </c>
      <c r="C60" s="3">
        <v>50700000</v>
      </c>
    </row>
    <row r="61" spans="1:3" x14ac:dyDescent="0.2">
      <c r="A61" t="s">
        <v>78</v>
      </c>
      <c r="B61" s="2">
        <v>5.0999999999999996</v>
      </c>
      <c r="C61" s="3">
        <v>51800000</v>
      </c>
    </row>
    <row r="62" spans="1:3" x14ac:dyDescent="0.2">
      <c r="A62" t="s">
        <v>79</v>
      </c>
      <c r="B62" s="2">
        <v>5.6</v>
      </c>
      <c r="C62" s="3">
        <v>52900000</v>
      </c>
    </row>
    <row r="63" spans="1:3" x14ac:dyDescent="0.2">
      <c r="A63" t="s">
        <v>80</v>
      </c>
      <c r="B63" s="2">
        <v>1.1000000000000001</v>
      </c>
      <c r="C63" s="3">
        <v>54000000</v>
      </c>
    </row>
    <row r="64" spans="1:3" x14ac:dyDescent="0.2">
      <c r="A64" t="s">
        <v>81</v>
      </c>
      <c r="B64" s="2">
        <v>1.3</v>
      </c>
      <c r="C64" s="3">
        <v>55100000</v>
      </c>
    </row>
    <row r="65" spans="1:3" x14ac:dyDescent="0.2">
      <c r="A65" t="s">
        <v>82</v>
      </c>
      <c r="B65" s="2">
        <v>1.5</v>
      </c>
      <c r="C65" s="3">
        <v>56200000</v>
      </c>
    </row>
    <row r="66" spans="1:3" x14ac:dyDescent="0.2">
      <c r="A66" t="s">
        <v>83</v>
      </c>
      <c r="B66" s="2">
        <v>1.7</v>
      </c>
      <c r="C66" s="3">
        <v>57300000</v>
      </c>
    </row>
    <row r="67" spans="1:3" x14ac:dyDescent="0.2">
      <c r="A67" t="s">
        <v>84</v>
      </c>
      <c r="B67" s="2">
        <v>1.9</v>
      </c>
      <c r="C67" s="3">
        <v>58400000</v>
      </c>
    </row>
    <row r="68" spans="1:3" x14ac:dyDescent="0.2">
      <c r="A68" t="s">
        <v>85</v>
      </c>
      <c r="B68" s="2">
        <v>2.1</v>
      </c>
      <c r="C68" s="3">
        <v>59500000</v>
      </c>
    </row>
    <row r="69" spans="1:3" x14ac:dyDescent="0.2">
      <c r="A69" t="s">
        <v>86</v>
      </c>
      <c r="B69" s="2">
        <v>2.2999999999999998</v>
      </c>
      <c r="C69" s="3">
        <v>60600000</v>
      </c>
    </row>
    <row r="70" spans="1:3" x14ac:dyDescent="0.2">
      <c r="A70" t="s">
        <v>87</v>
      </c>
      <c r="B70" s="2">
        <v>2.5</v>
      </c>
      <c r="C70" s="3">
        <v>61700000</v>
      </c>
    </row>
    <row r="71" spans="1:3" x14ac:dyDescent="0.2">
      <c r="A71" t="s">
        <v>88</v>
      </c>
      <c r="B71" s="2">
        <v>2.7</v>
      </c>
      <c r="C71" s="3">
        <v>62800000</v>
      </c>
    </row>
    <row r="72" spans="1:3" x14ac:dyDescent="0.2">
      <c r="A72" t="s">
        <v>89</v>
      </c>
      <c r="B72" s="2">
        <v>2.9</v>
      </c>
      <c r="C72" s="3">
        <v>63900000</v>
      </c>
    </row>
    <row r="73" spans="1:3" x14ac:dyDescent="0.2">
      <c r="A73" t="s">
        <v>90</v>
      </c>
      <c r="B73" s="2">
        <v>3.1</v>
      </c>
      <c r="C73" s="3">
        <v>65000000</v>
      </c>
    </row>
    <row r="74" spans="1:3" x14ac:dyDescent="0.2">
      <c r="A74" t="s">
        <v>91</v>
      </c>
      <c r="B74" s="2">
        <v>3.3</v>
      </c>
      <c r="C74" s="3">
        <v>66100000</v>
      </c>
    </row>
    <row r="75" spans="1:3" x14ac:dyDescent="0.2">
      <c r="A75" t="s">
        <v>92</v>
      </c>
      <c r="B75" s="2">
        <v>3.5</v>
      </c>
      <c r="C75" s="3">
        <v>67200000</v>
      </c>
    </row>
    <row r="76" spans="1:3" x14ac:dyDescent="0.2">
      <c r="A76" t="s">
        <v>22</v>
      </c>
      <c r="B76" s="2">
        <v>3.7</v>
      </c>
      <c r="C76" s="3">
        <v>68300000</v>
      </c>
    </row>
    <row r="77" spans="1:3" x14ac:dyDescent="0.2">
      <c r="A77" t="s">
        <v>23</v>
      </c>
      <c r="B77" s="2">
        <v>3.9</v>
      </c>
      <c r="C77" s="3">
        <v>69400000</v>
      </c>
    </row>
    <row r="78" spans="1:3" x14ac:dyDescent="0.2">
      <c r="A78" t="s">
        <v>24</v>
      </c>
      <c r="B78" s="2">
        <v>4.0999999999999996</v>
      </c>
      <c r="C78" s="3">
        <v>70500000</v>
      </c>
    </row>
    <row r="79" spans="1:3" x14ac:dyDescent="0.2">
      <c r="A79" t="s">
        <v>93</v>
      </c>
      <c r="B79" s="2">
        <v>1.3</v>
      </c>
      <c r="C79" s="3">
        <v>71600000</v>
      </c>
    </row>
    <row r="80" spans="1:3" x14ac:dyDescent="0.2">
      <c r="A80" t="s">
        <v>94</v>
      </c>
      <c r="B80" s="2">
        <v>1.5</v>
      </c>
      <c r="C80" s="3">
        <v>72700000</v>
      </c>
    </row>
    <row r="81" spans="1:3" x14ac:dyDescent="0.2">
      <c r="A81" t="s">
        <v>95</v>
      </c>
      <c r="B81" s="2">
        <v>1.7</v>
      </c>
      <c r="C81" s="3">
        <v>73800000</v>
      </c>
    </row>
    <row r="82" spans="1:3" x14ac:dyDescent="0.2">
      <c r="A82" t="s">
        <v>96</v>
      </c>
      <c r="B82" s="2">
        <v>1.9</v>
      </c>
      <c r="C82" s="3">
        <v>74900000</v>
      </c>
    </row>
    <row r="83" spans="1:3" x14ac:dyDescent="0.2">
      <c r="A83" t="s">
        <v>97</v>
      </c>
      <c r="B83" s="2">
        <v>2.1</v>
      </c>
      <c r="C83" s="3">
        <v>76000000</v>
      </c>
    </row>
    <row r="84" spans="1:3" x14ac:dyDescent="0.2">
      <c r="A84" t="s">
        <v>98</v>
      </c>
      <c r="B84" s="2">
        <v>2.2999999999999998</v>
      </c>
      <c r="C84" s="3">
        <v>77100000</v>
      </c>
    </row>
    <row r="85" spans="1:3" x14ac:dyDescent="0.2">
      <c r="A85" t="s">
        <v>99</v>
      </c>
      <c r="B85" s="2">
        <v>2.5</v>
      </c>
      <c r="C85" s="3">
        <v>78200000</v>
      </c>
    </row>
    <row r="86" spans="1:3" x14ac:dyDescent="0.2">
      <c r="A86" t="s">
        <v>100</v>
      </c>
      <c r="B86" s="2">
        <v>2.7</v>
      </c>
      <c r="C86" s="3">
        <v>79300000</v>
      </c>
    </row>
    <row r="87" spans="1:3" x14ac:dyDescent="0.2">
      <c r="A87" t="s">
        <v>101</v>
      </c>
      <c r="B87" s="2">
        <v>2.9</v>
      </c>
      <c r="C87" s="3">
        <v>80400000</v>
      </c>
    </row>
    <row r="88" spans="1:3" x14ac:dyDescent="0.2">
      <c r="A88" t="s">
        <v>102</v>
      </c>
      <c r="B88" s="2">
        <v>3.1</v>
      </c>
      <c r="C88" s="3">
        <v>81500000</v>
      </c>
    </row>
    <row r="89" spans="1:3" x14ac:dyDescent="0.2">
      <c r="A89" t="s">
        <v>103</v>
      </c>
      <c r="B89" s="2">
        <v>3.3</v>
      </c>
      <c r="C89" s="3">
        <v>82600000</v>
      </c>
    </row>
  </sheetData>
  <sortState ref="A2:C89">
    <sortCondition ref="A2:A89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O27"/>
  <sheetViews>
    <sheetView showGridLines="0" zoomScaleNormal="100" workbookViewId="0">
      <selection activeCell="C6" sqref="C6:F6"/>
    </sheetView>
  </sheetViews>
  <sheetFormatPr baseColWidth="10" defaultRowHeight="12.75" x14ac:dyDescent="0.2"/>
  <cols>
    <col min="2" max="2" width="16.7109375" customWidth="1"/>
    <col min="8" max="8" width="14.5703125" bestFit="1" customWidth="1"/>
    <col min="9" max="9" width="13.85546875" customWidth="1"/>
  </cols>
  <sheetData>
    <row r="1" spans="1:15" ht="55.5" customHeight="1" x14ac:dyDescent="0.5">
      <c r="A1" s="45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 x14ac:dyDescent="0.2">
      <c r="A2" s="46" t="s">
        <v>1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8"/>
    </row>
    <row r="3" spans="1:15" x14ac:dyDescent="0.2">
      <c r="A3" s="49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1"/>
    </row>
    <row r="4" spans="1:15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2">
      <c r="A5" s="1"/>
      <c r="B5" s="1"/>
      <c r="C5" s="78" t="s">
        <v>2</v>
      </c>
      <c r="D5" s="80"/>
      <c r="E5" s="80"/>
      <c r="F5" s="79"/>
      <c r="G5" s="78" t="s">
        <v>3</v>
      </c>
      <c r="H5" s="79"/>
      <c r="I5" s="78" t="s">
        <v>4</v>
      </c>
      <c r="J5" s="79"/>
      <c r="K5" s="1"/>
      <c r="L5" s="1"/>
      <c r="M5" s="1"/>
      <c r="N5" s="1"/>
      <c r="O5" s="1"/>
    </row>
    <row r="6" spans="1:15" x14ac:dyDescent="0.2">
      <c r="A6" s="1"/>
      <c r="B6" s="1"/>
      <c r="C6" s="75" t="s">
        <v>34</v>
      </c>
      <c r="D6" s="76"/>
      <c r="E6" s="76"/>
      <c r="F6" s="77"/>
      <c r="G6" s="81">
        <f>IFERROR(VLOOKUP(C6,Autos,2,0),"Modelo no existe")</f>
        <v>5.2</v>
      </c>
      <c r="H6" s="82"/>
      <c r="I6" s="83">
        <f>IFERROR(VLOOKUP(C6,Autos,3,0),"")</f>
        <v>50500000</v>
      </c>
      <c r="J6" s="84"/>
      <c r="K6" s="1"/>
      <c r="L6" s="1"/>
      <c r="M6" s="1"/>
      <c r="N6" s="1"/>
      <c r="O6" s="1"/>
    </row>
    <row r="7" spans="1:15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x14ac:dyDescent="0.2">
      <c r="A9" s="1"/>
      <c r="B9" s="1"/>
      <c r="C9" s="1"/>
      <c r="D9" s="1"/>
      <c r="E9" s="1"/>
      <c r="F9" s="42" t="s">
        <v>5</v>
      </c>
      <c r="G9" s="1"/>
      <c r="H9" s="1"/>
      <c r="I9" s="1"/>
      <c r="J9" s="1"/>
      <c r="K9" s="1"/>
      <c r="L9" s="1"/>
      <c r="M9" s="1"/>
      <c r="N9" s="1"/>
      <c r="O9" s="1"/>
    </row>
    <row r="10" spans="1:15" ht="24.75" customHeight="1" x14ac:dyDescent="0.2">
      <c r="A10" s="1"/>
      <c r="B10" s="43">
        <v>90000</v>
      </c>
      <c r="C10" s="39" t="s">
        <v>6</v>
      </c>
      <c r="D10" s="39"/>
      <c r="E10" s="39"/>
      <c r="F10" s="40"/>
      <c r="G10" s="1"/>
      <c r="H10" s="44" t="s">
        <v>11</v>
      </c>
      <c r="I10" s="63">
        <v>4</v>
      </c>
      <c r="J10" s="36">
        <f>I10*B10</f>
        <v>360000</v>
      </c>
      <c r="K10" s="37"/>
      <c r="L10" s="37"/>
      <c r="M10" s="38"/>
      <c r="N10" s="1"/>
      <c r="O10" s="1"/>
    </row>
    <row r="11" spans="1:15" ht="24.95" customHeight="1" x14ac:dyDescent="0.2">
      <c r="A11" s="1"/>
      <c r="B11" s="43">
        <v>1500000</v>
      </c>
      <c r="C11" s="39" t="s">
        <v>7</v>
      </c>
      <c r="D11" s="39"/>
      <c r="E11" s="39"/>
      <c r="F11" s="40"/>
      <c r="G11" s="1"/>
      <c r="H11" s="1"/>
      <c r="I11" s="10">
        <v>2</v>
      </c>
      <c r="J11" s="36">
        <f>IF(I11=1,B11,0)</f>
        <v>0</v>
      </c>
      <c r="K11" s="37"/>
      <c r="L11" s="37"/>
      <c r="M11" s="38"/>
      <c r="N11" s="1"/>
      <c r="O11" s="1"/>
    </row>
    <row r="12" spans="1:15" ht="24.95" customHeight="1" x14ac:dyDescent="0.2">
      <c r="A12" s="1"/>
      <c r="B12" s="43">
        <v>45000</v>
      </c>
      <c r="C12" s="39" t="s">
        <v>8</v>
      </c>
      <c r="D12" s="39"/>
      <c r="E12" s="39"/>
      <c r="F12" s="40"/>
      <c r="G12" s="1"/>
      <c r="H12" s="44" t="s">
        <v>12</v>
      </c>
      <c r="I12" s="63">
        <v>6</v>
      </c>
      <c r="J12" s="36">
        <f>I12*B12</f>
        <v>270000</v>
      </c>
      <c r="K12" s="37"/>
      <c r="L12" s="37"/>
      <c r="M12" s="38"/>
      <c r="N12" s="1"/>
      <c r="O12" s="1"/>
    </row>
    <row r="13" spans="1:15" ht="27.75" customHeight="1" x14ac:dyDescent="0.2">
      <c r="A13" s="1"/>
      <c r="B13" s="43">
        <v>450000</v>
      </c>
      <c r="C13" s="39" t="s">
        <v>9</v>
      </c>
      <c r="D13" s="39"/>
      <c r="E13" s="39"/>
      <c r="F13" s="40"/>
      <c r="G13" s="1"/>
      <c r="H13" s="1"/>
      <c r="I13" s="10" t="b">
        <v>1</v>
      </c>
      <c r="J13" s="36">
        <f>IF(I13=TRUE,B13,0)</f>
        <v>450000</v>
      </c>
      <c r="K13" s="37"/>
      <c r="L13" s="37"/>
      <c r="M13" s="38"/>
      <c r="N13" s="1"/>
      <c r="O13" s="1"/>
    </row>
    <row r="14" spans="1:15" ht="24.95" customHeight="1" x14ac:dyDescent="0.2">
      <c r="A14" s="1"/>
      <c r="B14" s="43">
        <v>120000</v>
      </c>
      <c r="C14" s="39" t="s">
        <v>10</v>
      </c>
      <c r="D14" s="39"/>
      <c r="E14" s="39"/>
      <c r="F14" s="40"/>
      <c r="G14" s="1"/>
      <c r="H14" s="1"/>
      <c r="I14" s="10">
        <v>2</v>
      </c>
      <c r="J14" s="36">
        <f>IF(I14=1,B14,0)</f>
        <v>0</v>
      </c>
      <c r="K14" s="37"/>
      <c r="L14" s="37"/>
      <c r="M14" s="38"/>
      <c r="N14" s="1"/>
      <c r="O14" s="1"/>
    </row>
    <row r="15" spans="1:15" ht="24.95" customHeight="1" x14ac:dyDescent="0.2">
      <c r="A15" s="1"/>
      <c r="B15" s="43">
        <v>800000</v>
      </c>
      <c r="C15" s="41" t="s">
        <v>116</v>
      </c>
      <c r="D15" s="39"/>
      <c r="E15" s="39"/>
      <c r="F15" s="40"/>
      <c r="G15" s="1"/>
      <c r="H15" s="1"/>
      <c r="I15" s="10" t="b">
        <v>1</v>
      </c>
      <c r="J15" s="36">
        <f>IF(I15=TRUE,B15,0)</f>
        <v>800000</v>
      </c>
      <c r="K15" s="37"/>
      <c r="L15" s="37"/>
      <c r="M15" s="38"/>
      <c r="N15" s="1"/>
      <c r="O15" s="1"/>
    </row>
    <row r="16" spans="1:15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3.5" thickBo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ht="24.95" customHeight="1" thickBot="1" x14ac:dyDescent="0.25">
      <c r="A18" s="1"/>
      <c r="B18" s="1"/>
      <c r="C18" s="86" t="s">
        <v>5</v>
      </c>
      <c r="D18" s="87"/>
      <c r="E18" s="87"/>
      <c r="F18" s="87"/>
      <c r="G18" s="87"/>
      <c r="H18" s="87"/>
      <c r="I18" s="88"/>
      <c r="J18" s="36">
        <f>SUM(J10:M15)</f>
        <v>1880000</v>
      </c>
      <c r="K18" s="37"/>
      <c r="L18" s="37"/>
      <c r="M18" s="38"/>
      <c r="N18" s="1"/>
      <c r="O18" s="1"/>
    </row>
    <row r="19" spans="1:15" ht="24.95" customHeight="1" thickBot="1" x14ac:dyDescent="0.25">
      <c r="A19" s="1"/>
      <c r="B19" s="1"/>
      <c r="C19" s="86" t="s">
        <v>104</v>
      </c>
      <c r="D19" s="87"/>
      <c r="E19" s="87"/>
      <c r="F19" s="87"/>
      <c r="G19" s="87"/>
      <c r="H19" s="87"/>
      <c r="I19" s="88"/>
      <c r="J19" s="36">
        <f>IFERROR(I6+J18,"")</f>
        <v>52380000</v>
      </c>
      <c r="K19" s="37"/>
      <c r="L19" s="37"/>
      <c r="M19" s="38"/>
      <c r="N19" s="1"/>
      <c r="O19" s="1"/>
    </row>
    <row r="20" spans="1:15" ht="24.95" customHeight="1" thickBot="1" x14ac:dyDescent="0.25">
      <c r="A20" s="1"/>
      <c r="B20" s="1"/>
      <c r="C20" s="86" t="s">
        <v>105</v>
      </c>
      <c r="D20" s="87"/>
      <c r="E20" s="87"/>
      <c r="F20" s="85">
        <v>4</v>
      </c>
      <c r="G20" s="85"/>
      <c r="H20" s="87" t="s">
        <v>106</v>
      </c>
      <c r="I20" s="88"/>
      <c r="J20" s="36">
        <f>IFERROR(IF(F20=1,J19*2%,IF(F20=2,J19*4%,IF(F20=3,J19*6%,J19*8%))),"")</f>
        <v>4190400</v>
      </c>
      <c r="K20" s="37"/>
      <c r="L20" s="37"/>
      <c r="M20" s="38"/>
      <c r="N20" s="1"/>
      <c r="O20" s="1"/>
    </row>
    <row r="21" spans="1:15" ht="24.95" customHeight="1" thickBot="1" x14ac:dyDescent="0.25">
      <c r="A21" s="1"/>
      <c r="B21" s="1"/>
      <c r="C21" s="86" t="s">
        <v>107</v>
      </c>
      <c r="D21" s="87"/>
      <c r="E21" s="87"/>
      <c r="F21" s="87"/>
      <c r="G21" s="87"/>
      <c r="H21" s="87"/>
      <c r="I21" s="88"/>
      <c r="J21" s="36">
        <f>IFERROR((J19-J20)*19%,"")</f>
        <v>9156024</v>
      </c>
      <c r="K21" s="37"/>
      <c r="L21" s="37"/>
      <c r="M21" s="38"/>
      <c r="N21" s="1"/>
      <c r="O21" s="1"/>
    </row>
    <row r="22" spans="1:15" ht="24.95" customHeight="1" thickBot="1" x14ac:dyDescent="0.25">
      <c r="A22" s="1"/>
      <c r="B22" s="1"/>
      <c r="C22" s="86" t="s">
        <v>108</v>
      </c>
      <c r="D22" s="87"/>
      <c r="E22" s="87"/>
      <c r="F22" s="87"/>
      <c r="G22" s="87"/>
      <c r="H22" s="87"/>
      <c r="I22" s="88"/>
      <c r="J22" s="36">
        <f>IFERROR(J19-J20+J21,"")</f>
        <v>57345624</v>
      </c>
      <c r="K22" s="37"/>
      <c r="L22" s="37"/>
      <c r="M22" s="38"/>
      <c r="N22" s="1"/>
      <c r="O22" s="1"/>
    </row>
    <row r="23" spans="1:15" ht="24.9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ht="24.95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ht="24.95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ht="24.95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</sheetData>
  <dataConsolidate/>
  <mergeCells count="32">
    <mergeCell ref="J22:M22"/>
    <mergeCell ref="C20:E20"/>
    <mergeCell ref="H20:I20"/>
    <mergeCell ref="F20:G20"/>
    <mergeCell ref="C21:I21"/>
    <mergeCell ref="C22:I22"/>
    <mergeCell ref="C11:F11"/>
    <mergeCell ref="J18:M18"/>
    <mergeCell ref="J19:M19"/>
    <mergeCell ref="J20:M20"/>
    <mergeCell ref="J21:M21"/>
    <mergeCell ref="A1:O1"/>
    <mergeCell ref="A2:O3"/>
    <mergeCell ref="C5:F5"/>
    <mergeCell ref="G5:H5"/>
    <mergeCell ref="I5:J5"/>
    <mergeCell ref="C6:F6"/>
    <mergeCell ref="G6:H6"/>
    <mergeCell ref="I6:J6"/>
    <mergeCell ref="C18:I18"/>
    <mergeCell ref="C19:I19"/>
    <mergeCell ref="C12:F12"/>
    <mergeCell ref="C13:F13"/>
    <mergeCell ref="C14:F14"/>
    <mergeCell ref="C15:F15"/>
    <mergeCell ref="J10:M10"/>
    <mergeCell ref="J11:M11"/>
    <mergeCell ref="J12:M12"/>
    <mergeCell ref="J13:M13"/>
    <mergeCell ref="J14:M14"/>
    <mergeCell ref="J15:M15"/>
    <mergeCell ref="C10:F10"/>
  </mergeCells>
  <dataValidations count="1">
    <dataValidation type="list" allowBlank="1" showInputMessage="1" showErrorMessage="1" sqref="C6:F6" xr:uid="{7C3DFB48-1974-4831-BFC8-CBFC8311D7A4}">
      <formula1>Modelos</formula1>
    </dataValidation>
  </dataValidations>
  <pageMargins left="0.7" right="0.7" top="0.75" bottom="0.75" header="0.3" footer="0.3"/>
  <pageSetup scale="68" orientation="landscape" r:id="rId1"/>
  <ignoredErrors>
    <ignoredError sqref="J11 J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>
                  <from>
                    <xdr:col>6</xdr:col>
                    <xdr:colOff>0</xdr:colOff>
                    <xdr:row>14</xdr:row>
                    <xdr:rowOff>133350</xdr:rowOff>
                  </from>
                  <to>
                    <xdr:col>6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>
                  <from>
                    <xdr:col>5</xdr:col>
                    <xdr:colOff>752475</xdr:colOff>
                    <xdr:row>12</xdr:row>
                    <xdr:rowOff>161925</xdr:rowOff>
                  </from>
                  <to>
                    <xdr:col>6</xdr:col>
                    <xdr:colOff>609600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Spinner 3">
              <controlPr defaultSize="0" autoPict="0">
                <anchor>
                  <from>
                    <xdr:col>6</xdr:col>
                    <xdr:colOff>38100</xdr:colOff>
                    <xdr:row>9</xdr:row>
                    <xdr:rowOff>28575</xdr:rowOff>
                  </from>
                  <to>
                    <xdr:col>6</xdr:col>
                    <xdr:colOff>190500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Spinner 4">
              <controlPr defaultSize="0" autoPict="0">
                <anchor>
                  <from>
                    <xdr:col>6</xdr:col>
                    <xdr:colOff>38100</xdr:colOff>
                    <xdr:row>11</xdr:row>
                    <xdr:rowOff>38100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Group Box 5">
              <controlPr defaultSize="0" autoFill="0" autoPict="0">
                <anchor moveWithCells="1">
                  <from>
                    <xdr:col>6</xdr:col>
                    <xdr:colOff>38100</xdr:colOff>
                    <xdr:row>10</xdr:row>
                    <xdr:rowOff>47625</xdr:rowOff>
                  </from>
                  <to>
                    <xdr:col>7</xdr:col>
                    <xdr:colOff>942975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Option Button 6">
              <controlPr defaultSize="0" autoFill="0" autoLine="0" autoPict="0">
                <anchor>
                  <from>
                    <xdr:col>6</xdr:col>
                    <xdr:colOff>38100</xdr:colOff>
                    <xdr:row>10</xdr:row>
                    <xdr:rowOff>85725</xdr:rowOff>
                  </from>
                  <to>
                    <xdr:col>6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Option Button 7">
              <controlPr defaultSize="0" autoFill="0" autoLine="0" autoPict="0">
                <anchor>
                  <from>
                    <xdr:col>6</xdr:col>
                    <xdr:colOff>695325</xdr:colOff>
                    <xdr:row>10</xdr:row>
                    <xdr:rowOff>85725</xdr:rowOff>
                  </from>
                  <to>
                    <xdr:col>7</xdr:col>
                    <xdr:colOff>485775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Group Box 8">
              <controlPr defaultSize="0" autoFill="0" autoPict="0">
                <anchor moveWithCells="1">
                  <from>
                    <xdr:col>6</xdr:col>
                    <xdr:colOff>38100</xdr:colOff>
                    <xdr:row>13</xdr:row>
                    <xdr:rowOff>47625</xdr:rowOff>
                  </from>
                  <to>
                    <xdr:col>7</xdr:col>
                    <xdr:colOff>942975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Option Button 9">
              <controlPr defaultSize="0" autoFill="0" autoLine="0" autoPict="0">
                <anchor>
                  <from>
                    <xdr:col>6</xdr:col>
                    <xdr:colOff>57150</xdr:colOff>
                    <xdr:row>13</xdr:row>
                    <xdr:rowOff>85725</xdr:rowOff>
                  </from>
                  <to>
                    <xdr:col>6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Option Button 11">
              <controlPr defaultSize="0" autoFill="0" autoLine="0" autoPict="0">
                <anchor>
                  <from>
                    <xdr:col>7</xdr:col>
                    <xdr:colOff>38100</xdr:colOff>
                    <xdr:row>13</xdr:row>
                    <xdr:rowOff>85725</xdr:rowOff>
                  </from>
                  <to>
                    <xdr:col>7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Drop Down 17">
              <controlPr defaultSize="0" autoLine="0" autoPict="0">
                <anchor>
                  <from>
                    <xdr:col>5</xdr:col>
                    <xdr:colOff>95250</xdr:colOff>
                    <xdr:row>19</xdr:row>
                    <xdr:rowOff>47625</xdr:rowOff>
                  </from>
                  <to>
                    <xdr:col>7</xdr:col>
                    <xdr:colOff>361950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Button 23">
              <controlPr defaultSize="0" print="0" autoFill="0" autoPict="0" macro="[0]!Imprimir_Cotización">
                <anchor>
                  <from>
                    <xdr:col>15</xdr:col>
                    <xdr:colOff>57150</xdr:colOff>
                    <xdr:row>0</xdr:row>
                    <xdr:rowOff>57150</xdr:rowOff>
                  </from>
                  <to>
                    <xdr:col>17</xdr:col>
                    <xdr:colOff>9525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131B8-25F1-4D9B-BE16-2511FFB36E36}">
  <sheetPr codeName="Hoja3"/>
  <dimension ref="B1:K17"/>
  <sheetViews>
    <sheetView workbookViewId="0">
      <selection activeCell="K1" sqref="K1"/>
    </sheetView>
  </sheetViews>
  <sheetFormatPr baseColWidth="10" defaultRowHeight="12.75" x14ac:dyDescent="0.2"/>
  <sheetData>
    <row r="1" spans="2:11" ht="13.5" thickBot="1" x14ac:dyDescent="0.25">
      <c r="K1" s="11" t="s">
        <v>119</v>
      </c>
    </row>
    <row r="2" spans="2:11" ht="13.5" thickBot="1" x14ac:dyDescent="0.25">
      <c r="B2" s="14" t="s">
        <v>121</v>
      </c>
      <c r="C2" s="15"/>
      <c r="D2" s="15"/>
      <c r="E2" s="15"/>
      <c r="F2" s="16"/>
      <c r="K2" s="11" t="s">
        <v>118</v>
      </c>
    </row>
    <row r="3" spans="2:11" x14ac:dyDescent="0.2">
      <c r="B3" s="19"/>
      <c r="C3" s="20"/>
      <c r="D3" s="21"/>
      <c r="E3" s="17">
        <v>1</v>
      </c>
      <c r="F3" s="13">
        <f>IF(E3=1,10000,IF(E3=2,20000,IF(E3=3,30000,40000)))</f>
        <v>10000</v>
      </c>
      <c r="K3" s="11" t="s">
        <v>117</v>
      </c>
    </row>
    <row r="4" spans="2:11" ht="13.5" thickBot="1" x14ac:dyDescent="0.25">
      <c r="B4" s="22"/>
      <c r="C4" s="23"/>
      <c r="D4" s="24"/>
      <c r="E4" s="18"/>
      <c r="F4" s="12"/>
      <c r="K4" s="11" t="s">
        <v>120</v>
      </c>
    </row>
    <row r="5" spans="2:11" ht="13.5" thickBot="1" x14ac:dyDescent="0.25"/>
    <row r="6" spans="2:11" ht="13.5" thickBot="1" x14ac:dyDescent="0.25">
      <c r="B6" s="33" t="s">
        <v>122</v>
      </c>
      <c r="C6" s="34"/>
      <c r="D6" s="34"/>
      <c r="E6" s="35"/>
    </row>
    <row r="7" spans="2:11" x14ac:dyDescent="0.2">
      <c r="B7" s="29"/>
      <c r="C7" s="30"/>
      <c r="D7" s="25" t="b">
        <v>1</v>
      </c>
      <c r="E7" s="26">
        <f>IF(D7=TRUE,1500000,0)</f>
        <v>1500000</v>
      </c>
    </row>
    <row r="8" spans="2:11" ht="13.5" thickBot="1" x14ac:dyDescent="0.25">
      <c r="B8" s="31"/>
      <c r="C8" s="32"/>
      <c r="D8" s="27"/>
      <c r="E8" s="28"/>
    </row>
    <row r="10" spans="2:11" ht="13.5" thickBot="1" x14ac:dyDescent="0.25"/>
    <row r="11" spans="2:11" ht="13.5" thickBot="1" x14ac:dyDescent="0.25">
      <c r="B11" s="52" t="s">
        <v>123</v>
      </c>
      <c r="C11" s="53"/>
      <c r="D11" s="53"/>
      <c r="E11" s="54"/>
    </row>
    <row r="12" spans="2:11" x14ac:dyDescent="0.2">
      <c r="B12" s="59"/>
      <c r="C12" s="60"/>
      <c r="D12" s="55">
        <v>4</v>
      </c>
      <c r="E12" s="56">
        <f>IF(D12=0,0,IF(D12=1,10000,IF(D12=2,20000,IF(D12=3,30000,40000))))</f>
        <v>40000</v>
      </c>
    </row>
    <row r="13" spans="2:11" ht="13.5" thickBot="1" x14ac:dyDescent="0.25">
      <c r="B13" s="61"/>
      <c r="C13" s="62"/>
      <c r="D13" s="57"/>
      <c r="E13" s="58"/>
    </row>
    <row r="14" spans="2:11" ht="13.5" thickBot="1" x14ac:dyDescent="0.25"/>
    <row r="15" spans="2:11" ht="13.5" thickBot="1" x14ac:dyDescent="0.25">
      <c r="B15" s="64" t="s">
        <v>124</v>
      </c>
      <c r="C15" s="65"/>
      <c r="D15" s="65"/>
      <c r="E15" s="66"/>
    </row>
    <row r="16" spans="2:11" x14ac:dyDescent="0.2">
      <c r="B16" s="67"/>
      <c r="C16" s="68"/>
      <c r="D16" s="69">
        <v>1</v>
      </c>
      <c r="E16" s="70">
        <f>IF(D16=1,100000,0)</f>
        <v>100000</v>
      </c>
    </row>
    <row r="17" spans="2:5" ht="13.5" thickBot="1" x14ac:dyDescent="0.25">
      <c r="B17" s="71"/>
      <c r="C17" s="72"/>
      <c r="D17" s="73"/>
      <c r="E17" s="74"/>
    </row>
  </sheetData>
  <sortState ref="K1:K4">
    <sortCondition ref="K1"/>
  </sortState>
  <mergeCells count="12">
    <mergeCell ref="D12:D13"/>
    <mergeCell ref="E12:E13"/>
    <mergeCell ref="B11:E11"/>
    <mergeCell ref="D16:D17"/>
    <mergeCell ref="E16:E17"/>
    <mergeCell ref="B15:E15"/>
    <mergeCell ref="E3:E4"/>
    <mergeCell ref="F3:F4"/>
    <mergeCell ref="B2:F2"/>
    <mergeCell ref="D7:D8"/>
    <mergeCell ref="E7:E8"/>
    <mergeCell ref="B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>
                  <from>
                    <xdr:col>1</xdr:col>
                    <xdr:colOff>104775</xdr:colOff>
                    <xdr:row>2</xdr:row>
                    <xdr:rowOff>38100</xdr:rowOff>
                  </from>
                  <to>
                    <xdr:col>2</xdr:col>
                    <xdr:colOff>704850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>
                  <from>
                    <xdr:col>1</xdr:col>
                    <xdr:colOff>95250</xdr:colOff>
                    <xdr:row>6</xdr:row>
                    <xdr:rowOff>66675</xdr:rowOff>
                  </from>
                  <to>
                    <xdr:col>2</xdr:col>
                    <xdr:colOff>609600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>
                <anchor>
                  <from>
                    <xdr:col>1</xdr:col>
                    <xdr:colOff>57150</xdr:colOff>
                    <xdr:row>11</xdr:row>
                    <xdr:rowOff>38100</xdr:rowOff>
                  </from>
                  <to>
                    <xdr:col>1</xdr:col>
                    <xdr:colOff>714375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1</xdr:col>
                    <xdr:colOff>19050</xdr:colOff>
                    <xdr:row>15</xdr:row>
                    <xdr:rowOff>38100</xdr:rowOff>
                  </from>
                  <to>
                    <xdr:col>2</xdr:col>
                    <xdr:colOff>733425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Option Button 13">
              <controlPr defaultSize="0" autoFill="0" autoLine="0" autoPict="0">
                <anchor>
                  <from>
                    <xdr:col>1</xdr:col>
                    <xdr:colOff>95250</xdr:colOff>
                    <xdr:row>15</xdr:row>
                    <xdr:rowOff>114300</xdr:rowOff>
                  </from>
                  <to>
                    <xdr:col>1</xdr:col>
                    <xdr:colOff>561975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Option Button 16">
              <controlPr defaultSize="0" autoFill="0" autoLine="0" autoPict="0">
                <anchor>
                  <from>
                    <xdr:col>1</xdr:col>
                    <xdr:colOff>666750</xdr:colOff>
                    <xdr:row>15</xdr:row>
                    <xdr:rowOff>114300</xdr:rowOff>
                  </from>
                  <to>
                    <xdr:col>2</xdr:col>
                    <xdr:colOff>371475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A450A-A4E7-4F15-AB87-F5E47D4702F5}">
  <sheetPr codeName="Hoja4"/>
  <dimension ref="B1:H17"/>
  <sheetViews>
    <sheetView tabSelected="1" workbookViewId="0">
      <selection activeCell="B1" sqref="B1:H2"/>
    </sheetView>
  </sheetViews>
  <sheetFormatPr baseColWidth="10" defaultRowHeight="12.75" x14ac:dyDescent="0.2"/>
  <cols>
    <col min="2" max="2" width="13" bestFit="1" customWidth="1"/>
    <col min="3" max="3" width="17.7109375" bestFit="1" customWidth="1"/>
    <col min="4" max="4" width="12.42578125" bestFit="1" customWidth="1"/>
    <col min="5" max="5" width="20.42578125" customWidth="1"/>
  </cols>
  <sheetData>
    <row r="1" spans="2:8" ht="12.75" customHeight="1" x14ac:dyDescent="0.2">
      <c r="B1" s="89" t="s">
        <v>125</v>
      </c>
      <c r="C1" s="89"/>
      <c r="D1" s="89"/>
      <c r="E1" s="89"/>
      <c r="F1" s="89"/>
      <c r="G1" s="89"/>
      <c r="H1" s="89"/>
    </row>
    <row r="2" spans="2:8" ht="12.75" customHeight="1" x14ac:dyDescent="0.2">
      <c r="B2" s="89"/>
      <c r="C2" s="89"/>
      <c r="D2" s="89"/>
      <c r="E2" s="89"/>
      <c r="F2" s="89"/>
      <c r="G2" s="89"/>
      <c r="H2" s="89"/>
    </row>
    <row r="3" spans="2:8" x14ac:dyDescent="0.2">
      <c r="B3">
        <f>COUNTA(C4:C10)</f>
        <v>0</v>
      </c>
    </row>
    <row r="4" spans="2:8" x14ac:dyDescent="0.2">
      <c r="B4" s="91" t="s">
        <v>126</v>
      </c>
    </row>
    <row r="5" spans="2:8" x14ac:dyDescent="0.2">
      <c r="B5" s="91" t="s">
        <v>127</v>
      </c>
    </row>
    <row r="6" spans="2:8" x14ac:dyDescent="0.2">
      <c r="B6" s="91" t="s">
        <v>128</v>
      </c>
    </row>
    <row r="7" spans="2:8" x14ac:dyDescent="0.2">
      <c r="B7" s="91" t="s">
        <v>129</v>
      </c>
    </row>
    <row r="8" spans="2:8" x14ac:dyDescent="0.2">
      <c r="B8" s="91" t="s">
        <v>130</v>
      </c>
    </row>
    <row r="9" spans="2:8" x14ac:dyDescent="0.2">
      <c r="B9" s="91" t="s">
        <v>131</v>
      </c>
    </row>
    <row r="10" spans="2:8" x14ac:dyDescent="0.2">
      <c r="B10" s="91" t="s">
        <v>132</v>
      </c>
    </row>
    <row r="12" spans="2:8" x14ac:dyDescent="0.2">
      <c r="B12" s="90" t="s">
        <v>126</v>
      </c>
      <c r="C12" s="90" t="s">
        <v>127</v>
      </c>
      <c r="D12" s="90" t="s">
        <v>128</v>
      </c>
      <c r="E12" s="90" t="s">
        <v>129</v>
      </c>
      <c r="F12" s="90" t="s">
        <v>130</v>
      </c>
      <c r="G12" s="90" t="s">
        <v>131</v>
      </c>
      <c r="H12" s="90" t="s">
        <v>132</v>
      </c>
    </row>
    <row r="13" spans="2:8" x14ac:dyDescent="0.2">
      <c r="B13">
        <v>1001</v>
      </c>
      <c r="C13" t="s">
        <v>133</v>
      </c>
      <c r="D13" t="s">
        <v>117</v>
      </c>
      <c r="E13" t="s">
        <v>134</v>
      </c>
      <c r="F13">
        <v>3004180153</v>
      </c>
      <c r="G13">
        <v>1500000</v>
      </c>
      <c r="H13" t="s">
        <v>135</v>
      </c>
    </row>
    <row r="14" spans="2:8" x14ac:dyDescent="0.2">
      <c r="B14">
        <v>1002</v>
      </c>
      <c r="C14" t="s">
        <v>136</v>
      </c>
      <c r="D14" t="s">
        <v>118</v>
      </c>
      <c r="E14" t="s">
        <v>134</v>
      </c>
      <c r="F14">
        <v>3004180153</v>
      </c>
      <c r="G14">
        <v>1500000</v>
      </c>
      <c r="H14" t="s">
        <v>137</v>
      </c>
    </row>
    <row r="15" spans="2:8" x14ac:dyDescent="0.2">
      <c r="B15">
        <v>1515</v>
      </c>
      <c r="C15" t="s">
        <v>141</v>
      </c>
      <c r="D15" t="s">
        <v>142</v>
      </c>
      <c r="E15" t="s">
        <v>143</v>
      </c>
      <c r="F15">
        <v>3211544200</v>
      </c>
      <c r="G15">
        <v>3500000</v>
      </c>
      <c r="H15" t="s">
        <v>144</v>
      </c>
    </row>
    <row r="16" spans="2:8" x14ac:dyDescent="0.2">
      <c r="B16">
        <v>4588</v>
      </c>
      <c r="C16" t="s">
        <v>145</v>
      </c>
      <c r="D16" t="s">
        <v>117</v>
      </c>
      <c r="E16" t="s">
        <v>146</v>
      </c>
      <c r="F16">
        <v>3002156789</v>
      </c>
      <c r="G16">
        <v>520000</v>
      </c>
      <c r="H16" t="s">
        <v>147</v>
      </c>
    </row>
    <row r="17" spans="2:8" x14ac:dyDescent="0.2">
      <c r="B17">
        <v>5522</v>
      </c>
      <c r="C17" t="s">
        <v>138</v>
      </c>
      <c r="D17" t="s">
        <v>119</v>
      </c>
      <c r="E17" t="s">
        <v>139</v>
      </c>
      <c r="F17">
        <v>3102546895</v>
      </c>
      <c r="G17">
        <v>500000</v>
      </c>
      <c r="H17" t="s">
        <v>140</v>
      </c>
    </row>
  </sheetData>
  <mergeCells count="1">
    <mergeCell ref="B1:H2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Datos</vt:lpstr>
      <vt:lpstr>Financiacion</vt:lpstr>
      <vt:lpstr>Controles de Formulario</vt:lpstr>
      <vt:lpstr>Clientes</vt:lpstr>
      <vt:lpstr>Autos</vt:lpstr>
      <vt:lpstr>Modelos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estudiante</dc:creator>
  <cp:lastModifiedBy>desarrollo</cp:lastModifiedBy>
  <cp:lastPrinted>2024-06-22T16:01:59Z</cp:lastPrinted>
  <dcterms:created xsi:type="dcterms:W3CDTF">2016-05-25T21:43:27Z</dcterms:created>
  <dcterms:modified xsi:type="dcterms:W3CDTF">2024-06-22T16:57:24Z</dcterms:modified>
</cp:coreProperties>
</file>